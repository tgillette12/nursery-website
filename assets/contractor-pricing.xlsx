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X:\CIVIL\nursery\operations\"/>
    </mc:Choice>
  </mc:AlternateContent>
  <xr:revisionPtr revIDLastSave="0" documentId="14_{717E49E4-AEB8-49B0-BA96-AA3087A880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Sheet1!$B$4:$B$90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2TGBAk2lZOM6Yi4KOZBhMtpu1FuICwHWkKu2eUJ0HDQ="/>
    </ext>
  </extLst>
</workbook>
</file>

<file path=xl/calcChain.xml><?xml version="1.0" encoding="utf-8"?>
<calcChain xmlns="http://schemas.openxmlformats.org/spreadsheetml/2006/main">
  <c r="I39" i="1" l="1"/>
  <c r="I72" i="1"/>
  <c r="C123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123" i="1" l="1"/>
</calcChain>
</file>

<file path=xl/sharedStrings.xml><?xml version="1.0" encoding="utf-8"?>
<sst xmlns="http://schemas.openxmlformats.org/spreadsheetml/2006/main" count="370" uniqueCount="144">
  <si>
    <t>Plants:</t>
  </si>
  <si>
    <t>Size:</t>
  </si>
  <si>
    <t>100G / 36"</t>
  </si>
  <si>
    <t>10G / 17"</t>
  </si>
  <si>
    <t>15G / 17"</t>
  </si>
  <si>
    <t>1G / 6"</t>
  </si>
  <si>
    <t>1G Full</t>
  </si>
  <si>
    <t>30G</t>
  </si>
  <si>
    <t>3G / 10"</t>
  </si>
  <si>
    <t>45G / 28"</t>
  </si>
  <si>
    <t>65G / 32"</t>
  </si>
  <si>
    <t>7G / 14"</t>
  </si>
  <si>
    <t>Field Grown</t>
  </si>
  <si>
    <t>7 G</t>
  </si>
  <si>
    <t>3G</t>
  </si>
  <si>
    <t>15G</t>
  </si>
  <si>
    <t>7G</t>
  </si>
  <si>
    <t>1G</t>
  </si>
  <si>
    <t>field grown, 6-8'</t>
  </si>
  <si>
    <t>Florida Sweet Almond</t>
  </si>
  <si>
    <t>30 G</t>
  </si>
  <si>
    <t>Qty:</t>
  </si>
  <si>
    <t>45G</t>
  </si>
  <si>
    <t>Camelia</t>
  </si>
  <si>
    <t>65G</t>
  </si>
  <si>
    <t>Japanese Blueberry</t>
  </si>
  <si>
    <t>Olive Tree</t>
  </si>
  <si>
    <t>Sylvester Date Palm</t>
  </si>
  <si>
    <t>Simpson's stopper</t>
  </si>
  <si>
    <t>Pineapple Guave</t>
  </si>
  <si>
    <t>Rosemary</t>
  </si>
  <si>
    <t>Cabbage Palm</t>
  </si>
  <si>
    <t>Natchez' Crape Myrtle</t>
  </si>
  <si>
    <t>Muskogee' Crape Myrtle</t>
  </si>
  <si>
    <t>Southern Live Oak</t>
  </si>
  <si>
    <t>Yucca 'Color Guard'</t>
  </si>
  <si>
    <t>Confederate Jasmine - Variegated</t>
  </si>
  <si>
    <t>Indian Hawthorn - White</t>
  </si>
  <si>
    <t>Arizona Blue Cypress, Smooth Bark Arizona Cypress</t>
  </si>
  <si>
    <t>Dwarf Maiden Grass</t>
  </si>
  <si>
    <t>Perennial Peanut</t>
  </si>
  <si>
    <t>Asiatic Jasmine</t>
  </si>
  <si>
    <t>Aztec Grass</t>
  </si>
  <si>
    <t>Sea Green'- Topiary Pom Pom, Juniper</t>
  </si>
  <si>
    <t>exclude for now</t>
  </si>
  <si>
    <t>Retail Price</t>
  </si>
  <si>
    <t>Bottle Brush-Callistemon</t>
  </si>
  <si>
    <t>Wax Myrtle-Myrica cerifa</t>
  </si>
  <si>
    <t>Bamboo-Graceful</t>
  </si>
  <si>
    <t>Crape Myrtle -  'Muskogee'</t>
  </si>
  <si>
    <t xml:space="preserve">Crape Myrtle - 'Miss Frances' </t>
  </si>
  <si>
    <t xml:space="preserve">Crape Myrtle - 'Natchez' </t>
  </si>
  <si>
    <t xml:space="preserve">Crape Myrtle -  'Tuscarora' </t>
  </si>
  <si>
    <t>Viburnum - odoratissimum</t>
  </si>
  <si>
    <t>Podocarpus - Maki</t>
  </si>
  <si>
    <t>Podocarpus - Pringles dwarf</t>
  </si>
  <si>
    <t>Juniper - Blue Pacific</t>
  </si>
  <si>
    <t>Muhly Grass-Pink</t>
  </si>
  <si>
    <t>African Iris - White</t>
  </si>
  <si>
    <t>Bulbine - orange</t>
  </si>
  <si>
    <t>Bulbine - yellow</t>
  </si>
  <si>
    <t>Agapanthus - Barley Blue</t>
  </si>
  <si>
    <t>Agapanthus Purple Cloud</t>
  </si>
  <si>
    <t>Agave - Variegated Americana</t>
  </si>
  <si>
    <t>Boxwood - Wintergreen, Littleleaf</t>
  </si>
  <si>
    <t>Boxwood - Japanese</t>
  </si>
  <si>
    <t>Holly - Dwarf Burford</t>
  </si>
  <si>
    <t>Holly - 'Schillings' Yaupon</t>
  </si>
  <si>
    <t>Anise - Yellow</t>
  </si>
  <si>
    <t>Juniper - Parsonii</t>
  </si>
  <si>
    <t>Ligustrum - Wax Leaf</t>
  </si>
  <si>
    <t>Ligustrum - Jack Frost</t>
  </si>
  <si>
    <t>Loropetalum - Cerise Charm</t>
  </si>
  <si>
    <t>Muhly Grass - Pink</t>
  </si>
  <si>
    <t>Fountain Grass - White</t>
  </si>
  <si>
    <t>Azalea - Fashion</t>
  </si>
  <si>
    <t>Viburnum - Mrs. Schiller's Delight</t>
  </si>
  <si>
    <t>Viburnum - suspensum</t>
  </si>
  <si>
    <t>Rose - Knockout</t>
  </si>
  <si>
    <t>Palm - Coontie</t>
  </si>
  <si>
    <t>Viburnum - Densa, Walters</t>
  </si>
  <si>
    <t>Guave - Pineapple</t>
  </si>
  <si>
    <t>Oleander - red</t>
  </si>
  <si>
    <t>Juniper - 'Torulosa', Hollywood</t>
  </si>
  <si>
    <t>Century Plant - Variegata</t>
  </si>
  <si>
    <t xml:space="preserve">Crape Myrtle - 'Muskogee' </t>
  </si>
  <si>
    <t xml:space="preserve">Crape Myrtle - 'Tuscarora' </t>
  </si>
  <si>
    <t>Magnolia - Bracken's Brown Beauty</t>
  </si>
  <si>
    <t>Magnolia - Little Gem</t>
  </si>
  <si>
    <t xml:space="preserve">Pine - Slash/South Florida </t>
  </si>
  <si>
    <t>Live Oak</t>
  </si>
  <si>
    <t>Cypress - Bald</t>
  </si>
  <si>
    <t>Holly - Eagleston's</t>
  </si>
  <si>
    <t>Holly - Nellie R. Stevens</t>
  </si>
  <si>
    <t>Bismarck Palm - Silver</t>
  </si>
  <si>
    <t>Palm - Pindo</t>
  </si>
  <si>
    <t>Palm - Mule</t>
  </si>
  <si>
    <t>Wholesale Price</t>
  </si>
  <si>
    <t>plant pricing - retail + wholesale</t>
  </si>
  <si>
    <t>Chester Nursery</t>
  </si>
  <si>
    <t>order from</t>
  </si>
  <si>
    <t>Harrells</t>
  </si>
  <si>
    <t>check with Jons nursery</t>
  </si>
  <si>
    <t>Liriope - Super Blue</t>
  </si>
  <si>
    <t>price</t>
  </si>
  <si>
    <t>Butler</t>
  </si>
  <si>
    <t>also check Jons</t>
  </si>
  <si>
    <t>williams is $3.50</t>
  </si>
  <si>
    <t>J&amp;R Nursery</t>
  </si>
  <si>
    <t>Juniper Red Cedar-Eastern</t>
  </si>
  <si>
    <t>Ligustrum-Sunshine (sinesis)</t>
  </si>
  <si>
    <t>few left</t>
  </si>
  <si>
    <t>red</t>
  </si>
  <si>
    <t>raise pricing or check jions</t>
  </si>
  <si>
    <t>brindabella</t>
  </si>
  <si>
    <t>Holly - Needlepoint</t>
  </si>
  <si>
    <t>Arizona Blue Cypress - Topiary 1 Ball</t>
  </si>
  <si>
    <t>check with kent on jax contact</t>
  </si>
  <si>
    <t>harrels 21 but not as good</t>
  </si>
  <si>
    <t>out of stock</t>
  </si>
  <si>
    <t>Oleander - hot pink</t>
  </si>
  <si>
    <t>Oleander - petite pink</t>
  </si>
  <si>
    <t>Azalea - Semi dwarf (salmon)</t>
  </si>
  <si>
    <t>15G - 6'</t>
  </si>
  <si>
    <t>Juniper Eastern red cedar 'Brodie'</t>
  </si>
  <si>
    <t>out at harrrels</t>
  </si>
  <si>
    <t>changed due to inventory</t>
  </si>
  <si>
    <t>Ligustrum - Wax Leaf Japonicum</t>
  </si>
  <si>
    <t>Holly - 'Schillings' Dwarf Yaupon</t>
  </si>
  <si>
    <t>Total Cost</t>
  </si>
  <si>
    <t>Jons</t>
  </si>
  <si>
    <t>Ligustrum - Wax Leaf japonica</t>
  </si>
  <si>
    <t>Fountain Grass - red</t>
  </si>
  <si>
    <t>staked</t>
  </si>
  <si>
    <t>2g at jons 8.50</t>
  </si>
  <si>
    <t>Lancaster</t>
  </si>
  <si>
    <t>B&amp;B</t>
  </si>
  <si>
    <t>Ligustrum-japonica green</t>
  </si>
  <si>
    <t>skip for now</t>
  </si>
  <si>
    <t>Evolvulus Beach Bum - Blue Daze</t>
  </si>
  <si>
    <t>Pittosporum - variegated</t>
  </si>
  <si>
    <t>Loropetalum - Plum</t>
  </si>
  <si>
    <t>Holly - Dahoon</t>
  </si>
  <si>
    <t xml:space="preserve">Crape Myrtle - 'Tonto',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</si>
</sst>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2"/>
      <color theme="1"/>
      <name val="Aptos Narrow"/>
      <scheme val="minor"/>
    </font>
    <font>
      <b/>
      <sz val="16"/>
      <color theme="1"/>
      <name val="Aptos Narrow"/>
      <family val="2"/>
    </font>
    <font>
      <b/>
      <sz val="16"/>
      <color theme="1"/>
      <name val="Arial"/>
      <family val="2"/>
    </font>
    <font>
      <sz val="12"/>
      <color rgb="FF3E484F"/>
      <name val="Arial"/>
      <family val="2"/>
    </font>
    <font>
      <sz val="15"/>
      <color rgb="FF3E484F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3" fillId="2" borderId="0" xfId="0" applyFont="1" applyFill="1"/>
    <xf numFmtId="44" fontId="0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quotePrefix="1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44" fontId="0" fillId="0" borderId="0" xfId="1" applyFont="1" applyBorder="1"/>
    <xf numFmtId="0" fontId="3" fillId="3" borderId="0" xfId="0" quotePrefix="1" applyFont="1" applyFill="1"/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44" fontId="0" fillId="0" borderId="0" xfId="0" applyNumberFormat="1"/>
    <xf numFmtId="0" fontId="0" fillId="0" borderId="0" xfId="1" applyNumberFormat="1" applyFont="1"/>
    <xf numFmtId="44" fontId="6" fillId="0" borderId="0" xfId="1" applyFont="1"/>
    <xf numFmtId="44" fontId="6" fillId="0" borderId="0" xfId="1" applyFont="1" applyBorder="1"/>
    <xf numFmtId="44" fontId="6" fillId="3" borderId="0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61"/>
  <sheetViews>
    <sheetView tabSelected="1" topLeftCell="A78" workbookViewId="0">
      <selection activeCell="E39" sqref="E39"/>
    </sheetView>
  </sheetViews>
  <sheetFormatPr defaultColWidth="11.125" defaultRowHeight="15" customHeight="1" x14ac:dyDescent="0.25"/>
  <cols>
    <col min="1" max="1" width="75.125" customWidth="1"/>
    <col min="2" max="2" width="14.375" customWidth="1"/>
    <col min="3" max="3" width="12.5" style="4" customWidth="1"/>
    <col min="4" max="4" width="15.125" style="3" bestFit="1" customWidth="1"/>
    <col min="5" max="5" width="12.5" style="16" customWidth="1"/>
    <col min="6" max="6" width="20.125" bestFit="1" customWidth="1"/>
    <col min="7" max="7" width="10.5" style="3" customWidth="1"/>
    <col min="8" max="8" width="27" customWidth="1"/>
    <col min="9" max="9" width="22" customWidth="1"/>
    <col min="10" max="16" width="10.5" customWidth="1"/>
  </cols>
  <sheetData>
    <row r="1" spans="1:9" ht="15" customHeight="1" x14ac:dyDescent="0.25">
      <c r="A1" t="s">
        <v>99</v>
      </c>
    </row>
    <row r="2" spans="1:9" ht="15" customHeight="1" x14ac:dyDescent="0.25">
      <c r="A2" t="s">
        <v>98</v>
      </c>
    </row>
    <row r="3" spans="1:9" ht="15" customHeight="1" x14ac:dyDescent="0.25">
      <c r="I3" t="s">
        <v>129</v>
      </c>
    </row>
    <row r="4" spans="1:9" ht="15.75" customHeight="1" x14ac:dyDescent="0.35">
      <c r="A4" s="1" t="s">
        <v>0</v>
      </c>
      <c r="B4" s="1" t="s">
        <v>1</v>
      </c>
      <c r="C4" s="5" t="s">
        <v>21</v>
      </c>
      <c r="D4" s="3" t="s">
        <v>97</v>
      </c>
      <c r="E4" s="16" t="s">
        <v>45</v>
      </c>
      <c r="F4" t="s">
        <v>100</v>
      </c>
      <c r="G4" s="3" t="s">
        <v>104</v>
      </c>
    </row>
    <row r="5" spans="1:9" ht="15.75" customHeight="1" x14ac:dyDescent="0.25"/>
    <row r="6" spans="1:9" ht="15.75" customHeight="1" x14ac:dyDescent="0.25">
      <c r="A6" s="8" t="s">
        <v>139</v>
      </c>
      <c r="B6" s="8" t="s">
        <v>5</v>
      </c>
      <c r="C6" s="9">
        <v>100</v>
      </c>
      <c r="D6" s="10">
        <v>3.65</v>
      </c>
      <c r="E6" s="17">
        <v>5.25</v>
      </c>
      <c r="F6" t="s">
        <v>101</v>
      </c>
      <c r="G6" s="3">
        <v>2.65</v>
      </c>
      <c r="I6" s="3">
        <f>+G6*C6</f>
        <v>265</v>
      </c>
    </row>
    <row r="7" spans="1:9" ht="15.75" customHeight="1" x14ac:dyDescent="0.25">
      <c r="A7" s="11" t="s">
        <v>56</v>
      </c>
      <c r="B7" s="8" t="s">
        <v>5</v>
      </c>
      <c r="C7" s="9">
        <v>100</v>
      </c>
      <c r="D7" s="10">
        <v>3.65</v>
      </c>
      <c r="E7" s="17">
        <v>5.25</v>
      </c>
      <c r="F7" t="s">
        <v>130</v>
      </c>
      <c r="G7" s="3">
        <v>2.75</v>
      </c>
      <c r="I7" s="3">
        <f t="shared" ref="I7:I72" si="0">+G7*C7</f>
        <v>275</v>
      </c>
    </row>
    <row r="8" spans="1:9" ht="15.75" customHeight="1" x14ac:dyDescent="0.25">
      <c r="A8" s="8" t="s">
        <v>103</v>
      </c>
      <c r="B8" s="8" t="s">
        <v>5</v>
      </c>
      <c r="C8" s="9">
        <v>100</v>
      </c>
      <c r="D8" s="10">
        <v>3.65</v>
      </c>
      <c r="E8" s="17">
        <v>5.25</v>
      </c>
      <c r="F8" t="s">
        <v>105</v>
      </c>
      <c r="G8" s="3">
        <v>2.5</v>
      </c>
      <c r="I8" s="3">
        <f t="shared" si="0"/>
        <v>250</v>
      </c>
    </row>
    <row r="9" spans="1:9" ht="15.75" customHeight="1" x14ac:dyDescent="0.25">
      <c r="A9" s="8" t="s">
        <v>57</v>
      </c>
      <c r="B9" s="8" t="s">
        <v>5</v>
      </c>
      <c r="C9" s="9">
        <v>100</v>
      </c>
      <c r="D9" s="10">
        <v>3.65</v>
      </c>
      <c r="E9" s="17">
        <v>5.25</v>
      </c>
      <c r="F9" t="s">
        <v>130</v>
      </c>
      <c r="G9" s="3">
        <v>2.25</v>
      </c>
      <c r="I9" s="3">
        <f t="shared" si="0"/>
        <v>225</v>
      </c>
    </row>
    <row r="10" spans="1:9" ht="15.75" customHeight="1" x14ac:dyDescent="0.25">
      <c r="A10" s="8" t="s">
        <v>42</v>
      </c>
      <c r="B10" s="8" t="s">
        <v>5</v>
      </c>
      <c r="C10" s="9">
        <v>100</v>
      </c>
      <c r="D10" s="10">
        <v>3.65</v>
      </c>
      <c r="E10" s="17">
        <v>5.25</v>
      </c>
      <c r="F10" t="s">
        <v>101</v>
      </c>
      <c r="G10" s="3">
        <v>3</v>
      </c>
      <c r="I10" s="3">
        <f t="shared" si="0"/>
        <v>300</v>
      </c>
    </row>
    <row r="11" spans="1:9" ht="15.75" customHeight="1" x14ac:dyDescent="0.25">
      <c r="A11" s="8" t="s">
        <v>41</v>
      </c>
      <c r="B11" s="8" t="s">
        <v>5</v>
      </c>
      <c r="C11" s="9">
        <v>100</v>
      </c>
      <c r="D11" s="10">
        <v>3.85</v>
      </c>
      <c r="E11" s="17">
        <v>5.25</v>
      </c>
      <c r="F11" t="s">
        <v>130</v>
      </c>
      <c r="G11" s="3">
        <v>2.25</v>
      </c>
      <c r="I11" s="3">
        <f t="shared" si="0"/>
        <v>225</v>
      </c>
    </row>
    <row r="12" spans="1:9" ht="15.75" customHeight="1" x14ac:dyDescent="0.25">
      <c r="A12" s="8" t="s">
        <v>40</v>
      </c>
      <c r="B12" s="8" t="s">
        <v>6</v>
      </c>
      <c r="C12" s="9">
        <v>100</v>
      </c>
      <c r="D12" s="10">
        <v>3.95</v>
      </c>
      <c r="E12" s="17">
        <v>5.25</v>
      </c>
      <c r="F12" t="s">
        <v>101</v>
      </c>
      <c r="G12" s="3">
        <v>3</v>
      </c>
      <c r="H12" t="s">
        <v>106</v>
      </c>
      <c r="I12" s="3">
        <f t="shared" si="0"/>
        <v>300</v>
      </c>
    </row>
    <row r="13" spans="1:9" ht="15.75" customHeight="1" x14ac:dyDescent="0.25">
      <c r="A13" s="8" t="s">
        <v>58</v>
      </c>
      <c r="B13" s="8" t="s">
        <v>6</v>
      </c>
      <c r="C13" s="9">
        <v>100</v>
      </c>
      <c r="D13" s="10">
        <v>3.95</v>
      </c>
      <c r="E13" s="17">
        <v>5.25</v>
      </c>
      <c r="F13" t="s">
        <v>130</v>
      </c>
      <c r="G13" s="3">
        <v>2.75</v>
      </c>
      <c r="H13" t="s">
        <v>107</v>
      </c>
      <c r="I13" s="3">
        <f t="shared" si="0"/>
        <v>275</v>
      </c>
    </row>
    <row r="14" spans="1:9" ht="15.75" customHeight="1" x14ac:dyDescent="0.25">
      <c r="A14" s="8" t="s">
        <v>59</v>
      </c>
      <c r="B14" s="8" t="s">
        <v>17</v>
      </c>
      <c r="C14" s="9">
        <v>30</v>
      </c>
      <c r="D14" s="10">
        <v>4.25</v>
      </c>
      <c r="E14" s="17">
        <v>5.25</v>
      </c>
      <c r="F14" t="s">
        <v>101</v>
      </c>
      <c r="G14" s="3">
        <v>3</v>
      </c>
      <c r="I14" s="3">
        <f t="shared" si="0"/>
        <v>90</v>
      </c>
    </row>
    <row r="15" spans="1:9" ht="15.75" customHeight="1" x14ac:dyDescent="0.25">
      <c r="A15" s="8" t="s">
        <v>60</v>
      </c>
      <c r="B15" s="8" t="s">
        <v>17</v>
      </c>
      <c r="C15" s="9">
        <v>30</v>
      </c>
      <c r="D15" s="10">
        <v>4.25</v>
      </c>
      <c r="E15" s="17">
        <v>5.25</v>
      </c>
      <c r="F15" t="s">
        <v>102</v>
      </c>
      <c r="I15" s="3">
        <f t="shared" si="0"/>
        <v>0</v>
      </c>
    </row>
    <row r="16" spans="1:9" ht="15.75" customHeight="1" x14ac:dyDescent="0.25">
      <c r="A16" s="8" t="s">
        <v>30</v>
      </c>
      <c r="B16" s="8" t="s">
        <v>17</v>
      </c>
      <c r="C16" s="9">
        <v>30</v>
      </c>
      <c r="D16" s="10">
        <v>4</v>
      </c>
      <c r="E16" s="17">
        <v>6.95</v>
      </c>
      <c r="F16" t="s">
        <v>130</v>
      </c>
      <c r="G16" s="3">
        <v>2.75</v>
      </c>
      <c r="I16" s="3">
        <f t="shared" si="0"/>
        <v>82.5</v>
      </c>
    </row>
    <row r="17" spans="1:9" ht="15.75" customHeight="1" x14ac:dyDescent="0.25">
      <c r="A17" s="8" t="s">
        <v>62</v>
      </c>
      <c r="B17" s="8" t="s">
        <v>8</v>
      </c>
      <c r="C17" s="9">
        <v>100</v>
      </c>
      <c r="D17" s="10">
        <v>8.25</v>
      </c>
      <c r="E17" s="17">
        <v>16.75</v>
      </c>
      <c r="F17" t="s">
        <v>101</v>
      </c>
      <c r="G17" s="3">
        <v>6.25</v>
      </c>
      <c r="I17" s="3">
        <f t="shared" si="0"/>
        <v>625</v>
      </c>
    </row>
    <row r="18" spans="1:9" ht="15.75" customHeight="1" x14ac:dyDescent="0.25">
      <c r="A18" s="11" t="s">
        <v>61</v>
      </c>
      <c r="B18" s="8" t="s">
        <v>8</v>
      </c>
      <c r="C18" s="9">
        <v>100</v>
      </c>
      <c r="D18" s="10">
        <v>8.25</v>
      </c>
      <c r="E18" s="17">
        <v>16.75</v>
      </c>
      <c r="F18" t="s">
        <v>108</v>
      </c>
      <c r="I18" s="3">
        <f t="shared" si="0"/>
        <v>0</v>
      </c>
    </row>
    <row r="19" spans="1:9" ht="15.75" customHeight="1" x14ac:dyDescent="0.25">
      <c r="A19" s="8" t="s">
        <v>63</v>
      </c>
      <c r="B19" s="8" t="s">
        <v>8</v>
      </c>
      <c r="C19" s="9">
        <v>25</v>
      </c>
      <c r="D19" s="10">
        <v>30</v>
      </c>
      <c r="E19" s="17">
        <v>38</v>
      </c>
      <c r="F19" t="s">
        <v>105</v>
      </c>
      <c r="G19" s="3">
        <v>15</v>
      </c>
      <c r="I19" s="3">
        <f t="shared" si="0"/>
        <v>375</v>
      </c>
    </row>
    <row r="20" spans="1:9" ht="15.75" customHeight="1" x14ac:dyDescent="0.25">
      <c r="A20" s="11" t="s">
        <v>64</v>
      </c>
      <c r="B20" s="8" t="s">
        <v>8</v>
      </c>
      <c r="C20" s="9">
        <v>100</v>
      </c>
      <c r="D20" s="10">
        <v>8.25</v>
      </c>
      <c r="E20" s="17">
        <v>16.75</v>
      </c>
      <c r="F20" t="s">
        <v>130</v>
      </c>
      <c r="G20" s="3">
        <v>5.95</v>
      </c>
      <c r="I20" s="3">
        <f t="shared" si="0"/>
        <v>595</v>
      </c>
    </row>
    <row r="21" spans="1:9" ht="15.75" customHeight="1" x14ac:dyDescent="0.25">
      <c r="A21" s="8" t="s">
        <v>65</v>
      </c>
      <c r="B21" s="8" t="s">
        <v>8</v>
      </c>
      <c r="C21" s="9">
        <v>100</v>
      </c>
      <c r="D21" s="10">
        <v>8</v>
      </c>
      <c r="E21" s="17">
        <v>16.75</v>
      </c>
      <c r="F21" t="s">
        <v>130</v>
      </c>
      <c r="G21" s="3">
        <v>5.95</v>
      </c>
      <c r="I21" s="3">
        <f t="shared" si="0"/>
        <v>595</v>
      </c>
    </row>
    <row r="22" spans="1:9" ht="15.75" customHeight="1" x14ac:dyDescent="0.25">
      <c r="A22" s="8" t="s">
        <v>66</v>
      </c>
      <c r="B22" s="8" t="s">
        <v>8</v>
      </c>
      <c r="C22" s="9">
        <v>50</v>
      </c>
      <c r="D22" s="10">
        <v>8</v>
      </c>
      <c r="E22" s="17">
        <v>15.75</v>
      </c>
      <c r="F22" t="s">
        <v>101</v>
      </c>
      <c r="G22" s="3">
        <v>6.25</v>
      </c>
      <c r="I22" s="3">
        <f t="shared" si="0"/>
        <v>312.5</v>
      </c>
    </row>
    <row r="23" spans="1:9" ht="15.75" customHeight="1" x14ac:dyDescent="0.25">
      <c r="A23" s="11" t="s">
        <v>67</v>
      </c>
      <c r="B23" s="8" t="s">
        <v>8</v>
      </c>
      <c r="C23" s="9">
        <v>200</v>
      </c>
      <c r="D23" s="10">
        <v>8</v>
      </c>
      <c r="E23" s="17">
        <v>15.75</v>
      </c>
      <c r="F23" t="s">
        <v>101</v>
      </c>
      <c r="G23" s="3">
        <v>6.25</v>
      </c>
      <c r="I23" s="3">
        <f t="shared" si="0"/>
        <v>1250</v>
      </c>
    </row>
    <row r="24" spans="1:9" ht="15.75" customHeight="1" x14ac:dyDescent="0.25">
      <c r="A24" s="8" t="s">
        <v>68</v>
      </c>
      <c r="B24" s="8" t="s">
        <v>8</v>
      </c>
      <c r="C24" s="9">
        <v>50</v>
      </c>
      <c r="D24" s="10">
        <v>8</v>
      </c>
      <c r="E24" s="17">
        <v>15.75</v>
      </c>
      <c r="F24" t="s">
        <v>101</v>
      </c>
      <c r="G24" s="3">
        <v>6.25</v>
      </c>
      <c r="I24" s="3">
        <f t="shared" si="0"/>
        <v>312.5</v>
      </c>
    </row>
    <row r="25" spans="1:9" ht="15.75" customHeight="1" x14ac:dyDescent="0.25">
      <c r="A25" s="11" t="s">
        <v>69</v>
      </c>
      <c r="B25" s="8" t="s">
        <v>8</v>
      </c>
      <c r="C25" s="9">
        <v>100</v>
      </c>
      <c r="D25" s="10">
        <v>9</v>
      </c>
      <c r="E25" s="17">
        <v>15.75</v>
      </c>
      <c r="F25" t="s">
        <v>101</v>
      </c>
      <c r="G25" s="3">
        <v>6.25</v>
      </c>
      <c r="I25" s="3">
        <f t="shared" si="0"/>
        <v>625</v>
      </c>
    </row>
    <row r="26" spans="1:9" ht="15.75" customHeight="1" x14ac:dyDescent="0.25">
      <c r="A26" s="11" t="s">
        <v>56</v>
      </c>
      <c r="B26" s="8" t="s">
        <v>8</v>
      </c>
      <c r="C26" s="9">
        <v>100</v>
      </c>
      <c r="D26" s="10">
        <v>9</v>
      </c>
      <c r="E26" s="17">
        <v>15.75</v>
      </c>
      <c r="F26" t="s">
        <v>105</v>
      </c>
      <c r="G26" s="3">
        <v>7</v>
      </c>
      <c r="I26" s="3">
        <f t="shared" si="0"/>
        <v>700</v>
      </c>
    </row>
    <row r="27" spans="1:9" ht="15.75" customHeight="1" x14ac:dyDescent="0.25">
      <c r="A27" s="8" t="s">
        <v>109</v>
      </c>
      <c r="B27" s="8" t="s">
        <v>8</v>
      </c>
      <c r="C27" s="9">
        <v>100</v>
      </c>
      <c r="D27" s="10">
        <v>9</v>
      </c>
      <c r="E27" s="17">
        <v>15.75</v>
      </c>
      <c r="F27" t="s">
        <v>101</v>
      </c>
      <c r="G27" s="3">
        <v>6.25</v>
      </c>
      <c r="I27" s="3">
        <f t="shared" si="0"/>
        <v>625</v>
      </c>
    </row>
    <row r="28" spans="1:9" ht="15.75" customHeight="1" x14ac:dyDescent="0.25">
      <c r="A28" s="8" t="s">
        <v>131</v>
      </c>
      <c r="B28" s="8" t="s">
        <v>8</v>
      </c>
      <c r="C28" s="9">
        <v>50</v>
      </c>
      <c r="D28" s="10">
        <v>8</v>
      </c>
      <c r="E28" s="17">
        <v>15.75</v>
      </c>
      <c r="F28" t="s">
        <v>130</v>
      </c>
      <c r="G28" s="3">
        <v>4.95</v>
      </c>
      <c r="I28" s="3">
        <f t="shared" si="0"/>
        <v>247.5</v>
      </c>
    </row>
    <row r="29" spans="1:9" ht="15.75" customHeight="1" x14ac:dyDescent="0.25">
      <c r="A29" s="11" t="s">
        <v>71</v>
      </c>
      <c r="B29" s="8" t="s">
        <v>8</v>
      </c>
      <c r="C29" s="9">
        <v>50</v>
      </c>
      <c r="D29" s="10">
        <v>8</v>
      </c>
      <c r="E29" s="17">
        <v>15.75</v>
      </c>
      <c r="F29" t="s">
        <v>130</v>
      </c>
      <c r="G29" s="3">
        <v>5.95</v>
      </c>
      <c r="I29" s="3">
        <f t="shared" si="0"/>
        <v>297.5</v>
      </c>
    </row>
    <row r="30" spans="1:9" ht="15.75" customHeight="1" x14ac:dyDescent="0.25">
      <c r="A30" s="11" t="s">
        <v>110</v>
      </c>
      <c r="B30" s="8" t="s">
        <v>8</v>
      </c>
      <c r="C30" s="9">
        <v>110</v>
      </c>
      <c r="D30" s="10">
        <v>8</v>
      </c>
      <c r="E30" s="17">
        <v>15.75</v>
      </c>
      <c r="F30" t="s">
        <v>101</v>
      </c>
      <c r="G30" s="3">
        <v>6.5</v>
      </c>
      <c r="I30" s="3">
        <f t="shared" si="0"/>
        <v>715</v>
      </c>
    </row>
    <row r="31" spans="1:9" ht="15.75" customHeight="1" x14ac:dyDescent="0.25">
      <c r="A31" s="8" t="s">
        <v>72</v>
      </c>
      <c r="B31" s="8" t="s">
        <v>8</v>
      </c>
      <c r="C31" s="9">
        <v>100</v>
      </c>
      <c r="D31" s="10">
        <v>9</v>
      </c>
      <c r="E31" s="17">
        <v>15.75</v>
      </c>
      <c r="F31" t="s">
        <v>105</v>
      </c>
      <c r="G31" s="3">
        <v>6.5</v>
      </c>
      <c r="I31" s="3">
        <f t="shared" si="0"/>
        <v>650</v>
      </c>
    </row>
    <row r="32" spans="1:9" ht="15.75" customHeight="1" x14ac:dyDescent="0.25">
      <c r="A32" s="8" t="s">
        <v>39</v>
      </c>
      <c r="B32" s="8" t="s">
        <v>8</v>
      </c>
      <c r="C32" s="9">
        <v>100</v>
      </c>
      <c r="D32" s="10">
        <v>8</v>
      </c>
      <c r="E32" s="17">
        <v>15.75</v>
      </c>
      <c r="F32" t="s">
        <v>101</v>
      </c>
      <c r="G32" s="3">
        <v>6</v>
      </c>
      <c r="I32" s="3">
        <f t="shared" si="0"/>
        <v>600</v>
      </c>
    </row>
    <row r="33" spans="1:9" ht="15.75" customHeight="1" x14ac:dyDescent="0.25">
      <c r="A33" s="8" t="s">
        <v>73</v>
      </c>
      <c r="B33" s="8" t="s">
        <v>8</v>
      </c>
      <c r="C33" s="9">
        <v>100</v>
      </c>
      <c r="D33" s="10">
        <v>8</v>
      </c>
      <c r="E33" s="17">
        <v>15.75</v>
      </c>
      <c r="F33" t="s">
        <v>130</v>
      </c>
      <c r="G33" s="3">
        <v>5.5</v>
      </c>
      <c r="I33" s="3">
        <f t="shared" si="0"/>
        <v>550</v>
      </c>
    </row>
    <row r="34" spans="1:9" ht="15.75" customHeight="1" x14ac:dyDescent="0.25">
      <c r="A34" s="8" t="s">
        <v>58</v>
      </c>
      <c r="B34" s="8" t="s">
        <v>8</v>
      </c>
      <c r="C34" s="9">
        <v>50</v>
      </c>
      <c r="D34" s="10">
        <v>8.5</v>
      </c>
      <c r="E34" s="17">
        <v>15.75</v>
      </c>
      <c r="F34" t="s">
        <v>130</v>
      </c>
      <c r="G34" s="3">
        <v>6.5</v>
      </c>
      <c r="I34" s="3">
        <f t="shared" si="0"/>
        <v>325</v>
      </c>
    </row>
    <row r="35" spans="1:9" ht="15.75" customHeight="1" x14ac:dyDescent="0.25">
      <c r="A35" s="8" t="s">
        <v>74</v>
      </c>
      <c r="B35" s="8" t="s">
        <v>8</v>
      </c>
      <c r="C35" s="9">
        <v>50</v>
      </c>
      <c r="D35" s="10">
        <v>8.5</v>
      </c>
      <c r="E35" s="17">
        <v>15.75</v>
      </c>
      <c r="F35" t="s">
        <v>101</v>
      </c>
      <c r="G35" s="3">
        <v>6</v>
      </c>
      <c r="H35" t="s">
        <v>111</v>
      </c>
      <c r="I35" s="3">
        <f t="shared" si="0"/>
        <v>300</v>
      </c>
    </row>
    <row r="36" spans="1:9" ht="15.75" customHeight="1" x14ac:dyDescent="0.25">
      <c r="A36" s="8" t="s">
        <v>132</v>
      </c>
      <c r="B36" s="8" t="s">
        <v>8</v>
      </c>
      <c r="C36" s="9">
        <v>50</v>
      </c>
      <c r="D36" s="10">
        <v>8.5</v>
      </c>
      <c r="E36" s="17">
        <v>15.75</v>
      </c>
      <c r="F36" t="s">
        <v>130</v>
      </c>
      <c r="G36" s="3">
        <v>5.25</v>
      </c>
      <c r="H36" t="s">
        <v>112</v>
      </c>
      <c r="I36" s="3">
        <f t="shared" si="0"/>
        <v>262.5</v>
      </c>
    </row>
    <row r="37" spans="1:9" ht="15.75" customHeight="1" x14ac:dyDescent="0.25">
      <c r="A37" s="8" t="s">
        <v>54</v>
      </c>
      <c r="B37" s="8" t="s">
        <v>8</v>
      </c>
      <c r="C37" s="9">
        <v>100</v>
      </c>
      <c r="D37" s="10">
        <v>8.25</v>
      </c>
      <c r="E37" s="17">
        <v>15.75</v>
      </c>
      <c r="F37" t="s">
        <v>130</v>
      </c>
      <c r="G37" s="3">
        <v>5.95</v>
      </c>
      <c r="I37" s="3">
        <f t="shared" si="0"/>
        <v>595</v>
      </c>
    </row>
    <row r="38" spans="1:9" ht="15.75" customHeight="1" x14ac:dyDescent="0.25">
      <c r="A38" s="11" t="s">
        <v>55</v>
      </c>
      <c r="B38" s="8" t="s">
        <v>8</v>
      </c>
      <c r="C38" s="9">
        <v>100</v>
      </c>
      <c r="D38" s="10">
        <v>10.25</v>
      </c>
      <c r="E38" s="17">
        <v>15.75</v>
      </c>
      <c r="F38" t="s">
        <v>101</v>
      </c>
      <c r="G38" s="3">
        <v>6.25</v>
      </c>
      <c r="I38" s="3">
        <f t="shared" si="0"/>
        <v>625</v>
      </c>
    </row>
    <row r="39" spans="1:9" ht="15.75" customHeight="1" x14ac:dyDescent="0.25">
      <c r="A39" s="11" t="s">
        <v>140</v>
      </c>
      <c r="B39" s="8" t="s">
        <v>14</v>
      </c>
      <c r="C39" s="9">
        <v>50</v>
      </c>
      <c r="D39" s="10"/>
      <c r="E39" s="17"/>
      <c r="F39" t="s">
        <v>130</v>
      </c>
      <c r="G39" s="3">
        <v>5.95</v>
      </c>
      <c r="I39" s="3">
        <f t="shared" si="0"/>
        <v>297.5</v>
      </c>
    </row>
    <row r="40" spans="1:9" ht="15.75" customHeight="1" x14ac:dyDescent="0.25">
      <c r="A40" s="8" t="s">
        <v>37</v>
      </c>
      <c r="B40" s="8" t="s">
        <v>8</v>
      </c>
      <c r="C40" s="9">
        <v>50</v>
      </c>
      <c r="D40" s="10">
        <v>8</v>
      </c>
      <c r="E40" s="17">
        <v>15.75</v>
      </c>
      <c r="F40" t="s">
        <v>101</v>
      </c>
      <c r="G40" s="3">
        <v>6.25</v>
      </c>
      <c r="I40" s="3">
        <f t="shared" si="0"/>
        <v>312.5</v>
      </c>
    </row>
    <row r="41" spans="1:9" ht="15.75" customHeight="1" x14ac:dyDescent="0.25">
      <c r="A41" s="11" t="s">
        <v>75</v>
      </c>
      <c r="B41" s="8" t="s">
        <v>8</v>
      </c>
      <c r="C41" s="9">
        <v>100</v>
      </c>
      <c r="D41" s="10">
        <v>8.25</v>
      </c>
      <c r="E41" s="17">
        <v>15.75</v>
      </c>
      <c r="F41" t="s">
        <v>101</v>
      </c>
      <c r="G41" s="3">
        <v>5.75</v>
      </c>
      <c r="I41" s="3">
        <f t="shared" si="0"/>
        <v>575</v>
      </c>
    </row>
    <row r="42" spans="1:9" ht="15.75" customHeight="1" x14ac:dyDescent="0.25">
      <c r="A42" s="8" t="s">
        <v>36</v>
      </c>
      <c r="B42" s="8" t="s">
        <v>8</v>
      </c>
      <c r="C42" s="9">
        <v>100</v>
      </c>
      <c r="D42" s="10">
        <v>8.75</v>
      </c>
      <c r="E42" s="17">
        <v>15.75</v>
      </c>
      <c r="F42" t="s">
        <v>130</v>
      </c>
      <c r="G42" s="3">
        <v>8.5</v>
      </c>
      <c r="H42" t="s">
        <v>133</v>
      </c>
      <c r="I42" s="3">
        <f t="shared" si="0"/>
        <v>850</v>
      </c>
    </row>
    <row r="43" spans="1:9" ht="15.75" customHeight="1" x14ac:dyDescent="0.25">
      <c r="A43" s="11" t="s">
        <v>76</v>
      </c>
      <c r="B43" s="8" t="s">
        <v>8</v>
      </c>
      <c r="C43" s="9">
        <v>50</v>
      </c>
      <c r="D43" s="10">
        <v>8.75</v>
      </c>
      <c r="E43" s="17">
        <v>14.25</v>
      </c>
      <c r="F43" t="s">
        <v>102</v>
      </c>
      <c r="I43" s="3">
        <f t="shared" si="0"/>
        <v>0</v>
      </c>
    </row>
    <row r="44" spans="1:9" ht="15.75" customHeight="1" x14ac:dyDescent="0.25">
      <c r="A44" s="8" t="s">
        <v>53</v>
      </c>
      <c r="B44" s="8" t="s">
        <v>8</v>
      </c>
      <c r="C44" s="9">
        <v>100</v>
      </c>
      <c r="D44" s="10">
        <v>7.95</v>
      </c>
      <c r="E44" s="17">
        <v>14.25</v>
      </c>
      <c r="F44" t="s">
        <v>101</v>
      </c>
      <c r="G44" s="3">
        <v>5.75</v>
      </c>
      <c r="I44" s="3">
        <f t="shared" si="0"/>
        <v>575</v>
      </c>
    </row>
    <row r="45" spans="1:9" ht="15.75" customHeight="1" x14ac:dyDescent="0.25">
      <c r="A45" s="8" t="s">
        <v>77</v>
      </c>
      <c r="B45" s="8" t="s">
        <v>8</v>
      </c>
      <c r="C45" s="9">
        <v>100</v>
      </c>
      <c r="D45" s="10">
        <v>7.95</v>
      </c>
      <c r="E45" s="17">
        <v>14.25</v>
      </c>
      <c r="F45" t="s">
        <v>101</v>
      </c>
      <c r="G45" s="3">
        <v>5.75</v>
      </c>
      <c r="I45" s="3">
        <f t="shared" si="0"/>
        <v>575</v>
      </c>
    </row>
    <row r="46" spans="1:9" ht="15.75" customHeight="1" x14ac:dyDescent="0.25">
      <c r="A46" s="8" t="s">
        <v>35</v>
      </c>
      <c r="B46" s="8" t="s">
        <v>8</v>
      </c>
      <c r="C46" s="9">
        <v>25</v>
      </c>
      <c r="D46" s="10">
        <v>8.75</v>
      </c>
      <c r="E46" s="17">
        <v>15.75</v>
      </c>
      <c r="F46" t="s">
        <v>101</v>
      </c>
      <c r="G46" s="3">
        <v>8.5</v>
      </c>
      <c r="H46" t="s">
        <v>113</v>
      </c>
      <c r="I46" s="3">
        <f t="shared" si="0"/>
        <v>212.5</v>
      </c>
    </row>
    <row r="47" spans="1:9" ht="15.75" customHeight="1" x14ac:dyDescent="0.25">
      <c r="A47" s="8" t="s">
        <v>19</v>
      </c>
      <c r="B47" s="8" t="s">
        <v>14</v>
      </c>
      <c r="C47" s="9">
        <v>10</v>
      </c>
      <c r="D47" s="10">
        <v>8.75</v>
      </c>
      <c r="E47" s="17">
        <v>15.75</v>
      </c>
      <c r="F47" t="s">
        <v>105</v>
      </c>
      <c r="G47" s="3">
        <v>7.5</v>
      </c>
      <c r="I47" s="3">
        <f t="shared" si="0"/>
        <v>75</v>
      </c>
    </row>
    <row r="48" spans="1:9" ht="15.75" customHeight="1" x14ac:dyDescent="0.25">
      <c r="A48" s="8" t="s">
        <v>46</v>
      </c>
      <c r="B48" s="8" t="s">
        <v>14</v>
      </c>
      <c r="C48" s="9">
        <v>15</v>
      </c>
      <c r="D48" s="10">
        <v>8.75</v>
      </c>
      <c r="E48" s="17">
        <v>15.75</v>
      </c>
      <c r="F48" t="s">
        <v>101</v>
      </c>
      <c r="G48" s="3">
        <v>6</v>
      </c>
      <c r="I48" s="3">
        <f t="shared" si="0"/>
        <v>90</v>
      </c>
    </row>
    <row r="49" spans="1:9" ht="15.75" customHeight="1" x14ac:dyDescent="0.25">
      <c r="A49" s="8" t="s">
        <v>30</v>
      </c>
      <c r="B49" s="8" t="s">
        <v>14</v>
      </c>
      <c r="C49" s="9">
        <v>30</v>
      </c>
      <c r="D49" s="10">
        <v>22</v>
      </c>
      <c r="E49" s="17">
        <v>22</v>
      </c>
      <c r="I49" s="3">
        <f t="shared" si="0"/>
        <v>0</v>
      </c>
    </row>
    <row r="50" spans="1:9" ht="15.75" customHeight="1" x14ac:dyDescent="0.25">
      <c r="A50" s="8" t="s">
        <v>29</v>
      </c>
      <c r="B50" s="8" t="s">
        <v>14</v>
      </c>
      <c r="C50" s="9">
        <v>15</v>
      </c>
      <c r="D50" s="10">
        <v>9.5</v>
      </c>
      <c r="E50" s="17">
        <v>15.75</v>
      </c>
      <c r="F50" t="s">
        <v>101</v>
      </c>
      <c r="G50" s="3">
        <v>7</v>
      </c>
      <c r="I50" s="3">
        <f t="shared" si="0"/>
        <v>105</v>
      </c>
    </row>
    <row r="51" spans="1:9" ht="15.75" customHeight="1" x14ac:dyDescent="0.25">
      <c r="A51" s="8" t="s">
        <v>28</v>
      </c>
      <c r="B51" s="8" t="s">
        <v>14</v>
      </c>
      <c r="C51" s="9">
        <v>15</v>
      </c>
      <c r="D51" s="10">
        <v>9</v>
      </c>
      <c r="E51" s="17">
        <v>16.95</v>
      </c>
      <c r="F51" t="s">
        <v>101</v>
      </c>
      <c r="G51" s="3">
        <v>6.25</v>
      </c>
      <c r="I51" s="3">
        <f t="shared" si="0"/>
        <v>93.75</v>
      </c>
    </row>
    <row r="52" spans="1:9" ht="15.75" customHeight="1" x14ac:dyDescent="0.25">
      <c r="A52" s="8" t="s">
        <v>78</v>
      </c>
      <c r="B52" s="8" t="s">
        <v>14</v>
      </c>
      <c r="C52" s="9">
        <v>15</v>
      </c>
      <c r="D52" s="10">
        <v>21</v>
      </c>
      <c r="E52" s="17">
        <v>28</v>
      </c>
      <c r="F52" t="s">
        <v>101</v>
      </c>
      <c r="G52" s="3">
        <v>12</v>
      </c>
      <c r="H52" t="s">
        <v>114</v>
      </c>
      <c r="I52" s="3">
        <f t="shared" si="0"/>
        <v>180</v>
      </c>
    </row>
    <row r="53" spans="1:9" ht="15.75" customHeight="1" x14ac:dyDescent="0.25">
      <c r="A53" s="8" t="s">
        <v>66</v>
      </c>
      <c r="B53" s="8" t="s">
        <v>14</v>
      </c>
      <c r="C53" s="9">
        <v>20</v>
      </c>
      <c r="D53" s="10">
        <v>8</v>
      </c>
      <c r="E53" s="17">
        <v>15.75</v>
      </c>
      <c r="F53" t="s">
        <v>101</v>
      </c>
      <c r="G53" s="3">
        <v>6.25</v>
      </c>
      <c r="I53" s="3">
        <f t="shared" si="0"/>
        <v>125</v>
      </c>
    </row>
    <row r="54" spans="1:9" ht="15.75" customHeight="1" x14ac:dyDescent="0.25">
      <c r="A54" s="8" t="s">
        <v>79</v>
      </c>
      <c r="B54" s="8" t="s">
        <v>14</v>
      </c>
      <c r="C54" s="9">
        <v>10</v>
      </c>
      <c r="D54" s="10">
        <v>19</v>
      </c>
      <c r="E54" s="17">
        <v>29</v>
      </c>
      <c r="F54" t="s">
        <v>105</v>
      </c>
      <c r="G54" s="3">
        <v>14</v>
      </c>
      <c r="H54" t="s">
        <v>134</v>
      </c>
      <c r="I54" s="3">
        <f t="shared" si="0"/>
        <v>140</v>
      </c>
    </row>
    <row r="55" spans="1:9" ht="15.75" customHeight="1" x14ac:dyDescent="0.25">
      <c r="A55" s="8" t="s">
        <v>38</v>
      </c>
      <c r="B55" s="8" t="s">
        <v>11</v>
      </c>
      <c r="C55" s="9">
        <v>1</v>
      </c>
      <c r="D55" s="10">
        <v>80</v>
      </c>
      <c r="E55" s="17">
        <v>95</v>
      </c>
      <c r="F55" t="s">
        <v>130</v>
      </c>
      <c r="G55" s="3">
        <v>25</v>
      </c>
      <c r="I55" s="3">
        <f t="shared" si="0"/>
        <v>25</v>
      </c>
    </row>
    <row r="56" spans="1:9" ht="15.75" customHeight="1" x14ac:dyDescent="0.25">
      <c r="A56" s="8" t="s">
        <v>116</v>
      </c>
      <c r="B56" s="8" t="s">
        <v>11</v>
      </c>
      <c r="C56" s="9">
        <v>1</v>
      </c>
      <c r="D56" s="10">
        <v>100</v>
      </c>
      <c r="E56" s="17">
        <v>130</v>
      </c>
      <c r="F56" t="s">
        <v>105</v>
      </c>
      <c r="G56" s="3">
        <v>60</v>
      </c>
      <c r="H56" t="s">
        <v>117</v>
      </c>
      <c r="I56" s="3">
        <f t="shared" si="0"/>
        <v>60</v>
      </c>
    </row>
    <row r="57" spans="1:9" ht="15.75" customHeight="1" x14ac:dyDescent="0.25">
      <c r="A57" s="8" t="s">
        <v>66</v>
      </c>
      <c r="B57" s="8" t="s">
        <v>11</v>
      </c>
      <c r="C57" s="9">
        <v>1</v>
      </c>
      <c r="D57" s="10">
        <v>29</v>
      </c>
      <c r="E57" s="17">
        <v>39</v>
      </c>
      <c r="F57" t="s">
        <v>130</v>
      </c>
      <c r="G57" s="3">
        <v>21</v>
      </c>
      <c r="I57" s="3">
        <f t="shared" si="0"/>
        <v>21</v>
      </c>
    </row>
    <row r="58" spans="1:9" ht="15.75" customHeight="1" x14ac:dyDescent="0.25">
      <c r="A58" s="8" t="s">
        <v>68</v>
      </c>
      <c r="B58" s="8" t="s">
        <v>11</v>
      </c>
      <c r="C58" s="9">
        <v>15</v>
      </c>
      <c r="D58" s="10">
        <v>29</v>
      </c>
      <c r="E58" s="17">
        <v>39</v>
      </c>
      <c r="H58" t="s">
        <v>119</v>
      </c>
      <c r="I58" s="3">
        <f t="shared" si="0"/>
        <v>0</v>
      </c>
    </row>
    <row r="59" spans="1:9" ht="15.75" customHeight="1" x14ac:dyDescent="0.25">
      <c r="A59" s="11" t="s">
        <v>110</v>
      </c>
      <c r="B59" s="8" t="s">
        <v>11</v>
      </c>
      <c r="C59" s="9">
        <v>20</v>
      </c>
      <c r="D59" s="10">
        <v>39</v>
      </c>
      <c r="E59" s="17">
        <v>60</v>
      </c>
      <c r="F59" t="s">
        <v>130</v>
      </c>
      <c r="G59" s="3">
        <v>16.5</v>
      </c>
      <c r="I59" s="3">
        <f t="shared" si="0"/>
        <v>330</v>
      </c>
    </row>
    <row r="60" spans="1:9" ht="15.75" customHeight="1" x14ac:dyDescent="0.25">
      <c r="A60" s="8" t="s">
        <v>141</v>
      </c>
      <c r="B60" s="8" t="s">
        <v>11</v>
      </c>
      <c r="C60" s="9">
        <v>15</v>
      </c>
      <c r="D60" s="10">
        <v>28.5</v>
      </c>
      <c r="E60" s="17">
        <v>40</v>
      </c>
      <c r="F60" t="s">
        <v>101</v>
      </c>
      <c r="G60" s="3">
        <v>21.5</v>
      </c>
      <c r="I60" s="3">
        <f t="shared" si="0"/>
        <v>322.5</v>
      </c>
    </row>
    <row r="61" spans="1:9" ht="15.75" customHeight="1" x14ac:dyDescent="0.25">
      <c r="A61" s="8" t="s">
        <v>54</v>
      </c>
      <c r="B61" s="8" t="s">
        <v>11</v>
      </c>
      <c r="C61" s="9">
        <v>50</v>
      </c>
      <c r="D61" s="10">
        <v>28</v>
      </c>
      <c r="E61" s="17">
        <v>40</v>
      </c>
      <c r="F61" t="s">
        <v>105</v>
      </c>
      <c r="G61" s="3">
        <v>22.5</v>
      </c>
      <c r="H61" t="s">
        <v>118</v>
      </c>
      <c r="I61" s="3">
        <f t="shared" si="0"/>
        <v>1125</v>
      </c>
    </row>
    <row r="62" spans="1:9" ht="15.75" customHeight="1" x14ac:dyDescent="0.25">
      <c r="A62" s="11" t="s">
        <v>80</v>
      </c>
      <c r="B62" s="8" t="s">
        <v>11</v>
      </c>
      <c r="C62" s="9">
        <v>15</v>
      </c>
      <c r="D62" s="10">
        <v>29</v>
      </c>
      <c r="E62" s="17">
        <v>39</v>
      </c>
      <c r="F62" t="s">
        <v>105</v>
      </c>
      <c r="G62" s="3">
        <v>24</v>
      </c>
      <c r="I62" s="3">
        <f t="shared" si="0"/>
        <v>360</v>
      </c>
    </row>
    <row r="63" spans="1:9" ht="15.75" customHeight="1" x14ac:dyDescent="0.25">
      <c r="A63" s="8" t="s">
        <v>53</v>
      </c>
      <c r="B63" s="8" t="s">
        <v>11</v>
      </c>
      <c r="C63" s="9">
        <v>15</v>
      </c>
      <c r="D63" s="10">
        <v>25</v>
      </c>
      <c r="E63" s="17">
        <v>39</v>
      </c>
      <c r="F63" t="s">
        <v>105</v>
      </c>
      <c r="G63" s="3">
        <v>24</v>
      </c>
      <c r="I63" s="3">
        <f t="shared" si="0"/>
        <v>360</v>
      </c>
    </row>
    <row r="64" spans="1:9" ht="15.75" customHeight="1" x14ac:dyDescent="0.25">
      <c r="A64" s="8" t="s">
        <v>77</v>
      </c>
      <c r="B64" s="8" t="s">
        <v>11</v>
      </c>
      <c r="C64" s="9">
        <v>30</v>
      </c>
      <c r="D64" s="10">
        <v>29</v>
      </c>
      <c r="E64" s="17">
        <v>39</v>
      </c>
      <c r="F64" t="s">
        <v>101</v>
      </c>
      <c r="G64" s="3">
        <v>19.75</v>
      </c>
      <c r="I64" s="3">
        <f t="shared" si="0"/>
        <v>592.5</v>
      </c>
    </row>
    <row r="65" spans="1:9" ht="15.75" customHeight="1" x14ac:dyDescent="0.25">
      <c r="A65" s="8" t="s">
        <v>46</v>
      </c>
      <c r="B65" s="8" t="s">
        <v>13</v>
      </c>
      <c r="C65" s="9">
        <v>10</v>
      </c>
      <c r="D65" s="10">
        <v>29</v>
      </c>
      <c r="E65" s="17">
        <v>39</v>
      </c>
      <c r="F65" t="s">
        <v>101</v>
      </c>
      <c r="G65" s="3">
        <v>19</v>
      </c>
      <c r="I65" s="3">
        <f t="shared" si="0"/>
        <v>190</v>
      </c>
    </row>
    <row r="66" spans="1:9" ht="15.75" customHeight="1" x14ac:dyDescent="0.25">
      <c r="A66" s="8" t="s">
        <v>81</v>
      </c>
      <c r="B66" s="8" t="s">
        <v>16</v>
      </c>
      <c r="C66" s="9">
        <v>10</v>
      </c>
      <c r="D66" s="10">
        <v>29</v>
      </c>
      <c r="E66" s="17">
        <v>39</v>
      </c>
      <c r="I66" s="3">
        <f t="shared" si="0"/>
        <v>0</v>
      </c>
    </row>
    <row r="67" spans="1:9" ht="15.75" customHeight="1" x14ac:dyDescent="0.25">
      <c r="A67" s="8" t="s">
        <v>115</v>
      </c>
      <c r="B67" s="8" t="s">
        <v>16</v>
      </c>
      <c r="C67" s="9">
        <v>10</v>
      </c>
      <c r="D67" s="10">
        <v>59</v>
      </c>
      <c r="E67" s="17">
        <v>69</v>
      </c>
      <c r="F67" t="s">
        <v>101</v>
      </c>
      <c r="G67" s="3">
        <v>18</v>
      </c>
      <c r="I67" s="3">
        <f t="shared" si="0"/>
        <v>180</v>
      </c>
    </row>
    <row r="68" spans="1:9" ht="15.75" customHeight="1" x14ac:dyDescent="0.25">
      <c r="A68" s="8" t="s">
        <v>28</v>
      </c>
      <c r="B68" s="8" t="s">
        <v>16</v>
      </c>
      <c r="C68" s="9">
        <v>15</v>
      </c>
      <c r="D68" s="10">
        <v>30</v>
      </c>
      <c r="E68" s="17">
        <v>39</v>
      </c>
      <c r="F68" t="s">
        <v>105</v>
      </c>
      <c r="G68" s="3">
        <v>21.5</v>
      </c>
      <c r="I68" s="3">
        <f t="shared" si="0"/>
        <v>322.5</v>
      </c>
    </row>
    <row r="69" spans="1:9" ht="15.75" customHeight="1" x14ac:dyDescent="0.25">
      <c r="A69" s="8" t="s">
        <v>120</v>
      </c>
      <c r="B69" s="8" t="s">
        <v>16</v>
      </c>
      <c r="C69" s="9">
        <v>10</v>
      </c>
      <c r="D69" s="10">
        <v>29</v>
      </c>
      <c r="E69" s="17">
        <v>39</v>
      </c>
      <c r="F69" t="s">
        <v>105</v>
      </c>
      <c r="G69" s="3">
        <v>22.5</v>
      </c>
      <c r="I69" s="3">
        <f t="shared" si="0"/>
        <v>225</v>
      </c>
    </row>
    <row r="70" spans="1:9" ht="15.75" customHeight="1" x14ac:dyDescent="0.25">
      <c r="A70" s="8" t="s">
        <v>121</v>
      </c>
      <c r="B70" s="8" t="s">
        <v>16</v>
      </c>
      <c r="C70" s="9">
        <v>10</v>
      </c>
      <c r="D70" s="10">
        <v>32</v>
      </c>
      <c r="E70" s="17">
        <v>39</v>
      </c>
      <c r="F70" t="s">
        <v>101</v>
      </c>
      <c r="G70" s="3">
        <v>23</v>
      </c>
      <c r="I70" s="3">
        <f t="shared" si="0"/>
        <v>230</v>
      </c>
    </row>
    <row r="71" spans="1:9" ht="15.75" customHeight="1" x14ac:dyDescent="0.25">
      <c r="A71" s="8" t="s">
        <v>82</v>
      </c>
      <c r="B71" s="8" t="s">
        <v>16</v>
      </c>
      <c r="C71" s="9">
        <v>10</v>
      </c>
      <c r="D71" s="10">
        <v>29</v>
      </c>
      <c r="E71" s="17">
        <v>39</v>
      </c>
      <c r="F71" t="s">
        <v>101</v>
      </c>
      <c r="G71" s="3">
        <v>19.5</v>
      </c>
      <c r="I71" s="3">
        <f t="shared" si="0"/>
        <v>195</v>
      </c>
    </row>
    <row r="72" spans="1:9" ht="15.75" customHeight="1" x14ac:dyDescent="0.25">
      <c r="A72" s="8" t="s">
        <v>140</v>
      </c>
      <c r="B72" s="8" t="s">
        <v>16</v>
      </c>
      <c r="C72" s="9">
        <v>10</v>
      </c>
      <c r="D72" s="10"/>
      <c r="E72" s="17"/>
      <c r="F72" t="s">
        <v>130</v>
      </c>
      <c r="G72" s="3">
        <v>21</v>
      </c>
      <c r="I72" s="3">
        <f t="shared" si="0"/>
        <v>210</v>
      </c>
    </row>
    <row r="73" spans="1:9" ht="15.75" customHeight="1" x14ac:dyDescent="0.25">
      <c r="A73" s="8" t="s">
        <v>122</v>
      </c>
      <c r="B73" s="8" t="s">
        <v>16</v>
      </c>
      <c r="C73" s="9">
        <v>15</v>
      </c>
      <c r="D73" s="10">
        <v>29</v>
      </c>
      <c r="E73" s="17">
        <v>39</v>
      </c>
      <c r="F73" t="s">
        <v>101</v>
      </c>
      <c r="G73" s="3">
        <v>18</v>
      </c>
      <c r="I73" s="3">
        <f t="shared" ref="I73:I121" si="1">+G73*C73</f>
        <v>270</v>
      </c>
    </row>
    <row r="74" spans="1:9" ht="15.75" customHeight="1" x14ac:dyDescent="0.25">
      <c r="A74" s="8" t="s">
        <v>55</v>
      </c>
      <c r="B74" s="8" t="s">
        <v>16</v>
      </c>
      <c r="C74" s="12">
        <v>15</v>
      </c>
      <c r="D74" s="10">
        <v>28</v>
      </c>
      <c r="E74" s="17">
        <v>40</v>
      </c>
      <c r="F74" t="s">
        <v>101</v>
      </c>
      <c r="G74" s="3">
        <v>23.5</v>
      </c>
      <c r="I74" s="3">
        <f t="shared" si="1"/>
        <v>352.5</v>
      </c>
    </row>
    <row r="75" spans="1:9" ht="15.75" customHeight="1" x14ac:dyDescent="0.25">
      <c r="A75" s="8" t="s">
        <v>47</v>
      </c>
      <c r="B75" s="8" t="s">
        <v>16</v>
      </c>
      <c r="C75" s="9">
        <v>15</v>
      </c>
      <c r="D75" s="10">
        <v>29</v>
      </c>
      <c r="E75" s="17">
        <v>39</v>
      </c>
      <c r="F75" t="s">
        <v>130</v>
      </c>
      <c r="G75" s="3">
        <v>16.5</v>
      </c>
      <c r="I75" s="3">
        <f t="shared" si="1"/>
        <v>247.5</v>
      </c>
    </row>
    <row r="76" spans="1:9" ht="15.75" customHeight="1" x14ac:dyDescent="0.25">
      <c r="A76" s="11" t="s">
        <v>43</v>
      </c>
      <c r="B76" s="8" t="s">
        <v>123</v>
      </c>
      <c r="C76" s="9">
        <v>1</v>
      </c>
      <c r="D76" s="10">
        <v>115</v>
      </c>
      <c r="E76" s="17">
        <v>135</v>
      </c>
      <c r="F76" t="s">
        <v>101</v>
      </c>
      <c r="G76" s="3">
        <v>85</v>
      </c>
      <c r="I76" s="3">
        <f t="shared" si="1"/>
        <v>85</v>
      </c>
    </row>
    <row r="77" spans="1:9" ht="15.75" customHeight="1" x14ac:dyDescent="0.25">
      <c r="A77" s="11" t="s">
        <v>83</v>
      </c>
      <c r="B77" s="8" t="s">
        <v>3</v>
      </c>
      <c r="C77" s="9">
        <v>1</v>
      </c>
      <c r="D77" s="10"/>
      <c r="E77" s="17" t="s">
        <v>44</v>
      </c>
      <c r="I77" s="3">
        <f t="shared" si="1"/>
        <v>0</v>
      </c>
    </row>
    <row r="78" spans="1:9" ht="15.75" customHeight="1" x14ac:dyDescent="0.25">
      <c r="A78" s="8" t="s">
        <v>46</v>
      </c>
      <c r="B78" s="8" t="s">
        <v>15</v>
      </c>
      <c r="C78" s="9">
        <v>5</v>
      </c>
      <c r="D78" s="10">
        <v>75</v>
      </c>
      <c r="E78" s="17">
        <v>119</v>
      </c>
      <c r="F78" t="s">
        <v>101</v>
      </c>
      <c r="G78" s="3">
        <v>39</v>
      </c>
      <c r="I78" s="3">
        <f t="shared" si="1"/>
        <v>195</v>
      </c>
    </row>
    <row r="79" spans="1:9" ht="15.75" customHeight="1" x14ac:dyDescent="0.25">
      <c r="A79" s="8" t="s">
        <v>124</v>
      </c>
      <c r="B79" s="8" t="s">
        <v>4</v>
      </c>
      <c r="C79" s="9">
        <v>4</v>
      </c>
      <c r="D79" s="10">
        <v>95</v>
      </c>
      <c r="E79" s="17">
        <v>119</v>
      </c>
      <c r="F79" t="s">
        <v>101</v>
      </c>
      <c r="G79" s="3">
        <v>52.5</v>
      </c>
      <c r="I79" s="3">
        <f t="shared" si="1"/>
        <v>210</v>
      </c>
    </row>
    <row r="80" spans="1:9" ht="15.75" customHeight="1" x14ac:dyDescent="0.25">
      <c r="A80" s="8" t="s">
        <v>50</v>
      </c>
      <c r="B80" s="8" t="s">
        <v>4</v>
      </c>
      <c r="C80" s="9">
        <v>4</v>
      </c>
      <c r="D80" s="10">
        <v>72</v>
      </c>
      <c r="E80" s="17">
        <v>119</v>
      </c>
      <c r="F80" t="s">
        <v>101</v>
      </c>
      <c r="G80" s="3">
        <v>49.5</v>
      </c>
      <c r="I80" s="3">
        <f t="shared" si="1"/>
        <v>198</v>
      </c>
    </row>
    <row r="81" spans="1:9" ht="15.75" customHeight="1" x14ac:dyDescent="0.25">
      <c r="A81" s="8" t="s">
        <v>49</v>
      </c>
      <c r="B81" s="8" t="s">
        <v>4</v>
      </c>
      <c r="C81" s="9">
        <v>4</v>
      </c>
      <c r="D81" s="10">
        <v>72</v>
      </c>
      <c r="E81" s="17">
        <v>125</v>
      </c>
      <c r="F81" t="s">
        <v>101</v>
      </c>
      <c r="G81" s="3">
        <v>49.5</v>
      </c>
      <c r="I81" s="3">
        <f t="shared" si="1"/>
        <v>198</v>
      </c>
    </row>
    <row r="82" spans="1:9" ht="15.75" customHeight="1" x14ac:dyDescent="0.25">
      <c r="A82" s="11" t="s">
        <v>51</v>
      </c>
      <c r="B82" s="8" t="s">
        <v>4</v>
      </c>
      <c r="C82" s="9">
        <v>4</v>
      </c>
      <c r="D82" s="10">
        <v>72</v>
      </c>
      <c r="E82" s="17">
        <v>119</v>
      </c>
      <c r="F82" t="s">
        <v>101</v>
      </c>
      <c r="G82" s="3">
        <v>49.5</v>
      </c>
      <c r="I82" s="3">
        <f t="shared" si="1"/>
        <v>198</v>
      </c>
    </row>
    <row r="83" spans="1:9" ht="15.75" customHeight="1" x14ac:dyDescent="0.25">
      <c r="A83" s="8" t="s">
        <v>52</v>
      </c>
      <c r="B83" s="8" t="s">
        <v>4</v>
      </c>
      <c r="C83" s="9">
        <v>4</v>
      </c>
      <c r="D83" s="10">
        <v>72</v>
      </c>
      <c r="E83" s="17">
        <v>125</v>
      </c>
      <c r="F83" t="s">
        <v>101</v>
      </c>
      <c r="G83" s="3">
        <v>49.5</v>
      </c>
      <c r="I83" s="3">
        <f t="shared" si="1"/>
        <v>198</v>
      </c>
    </row>
    <row r="84" spans="1:9" ht="15.75" customHeight="1" x14ac:dyDescent="0.25">
      <c r="A84" s="8" t="s">
        <v>127</v>
      </c>
      <c r="B84" s="8" t="s">
        <v>4</v>
      </c>
      <c r="C84" s="9">
        <v>4</v>
      </c>
      <c r="D84" s="10">
        <v>61</v>
      </c>
      <c r="E84" s="17">
        <v>125</v>
      </c>
      <c r="F84" t="s">
        <v>101</v>
      </c>
      <c r="G84" s="3">
        <v>37.5</v>
      </c>
      <c r="I84" s="3">
        <f t="shared" si="1"/>
        <v>150</v>
      </c>
    </row>
    <row r="85" spans="1:9" ht="15.75" customHeight="1" x14ac:dyDescent="0.25">
      <c r="A85" s="8" t="s">
        <v>54</v>
      </c>
      <c r="B85" s="8" t="s">
        <v>4</v>
      </c>
      <c r="C85" s="9">
        <v>28</v>
      </c>
      <c r="D85" s="10">
        <v>67</v>
      </c>
      <c r="E85" s="17">
        <v>125</v>
      </c>
      <c r="F85" t="s">
        <v>101</v>
      </c>
      <c r="G85" s="3">
        <v>41.5</v>
      </c>
      <c r="I85" s="3">
        <f t="shared" si="1"/>
        <v>1162</v>
      </c>
    </row>
    <row r="86" spans="1:9" ht="15.75" customHeight="1" x14ac:dyDescent="0.25">
      <c r="A86" s="8" t="s">
        <v>53</v>
      </c>
      <c r="B86" s="8" t="s">
        <v>4</v>
      </c>
      <c r="C86" s="9">
        <v>8</v>
      </c>
      <c r="D86" s="10">
        <v>67</v>
      </c>
      <c r="E86" s="17">
        <v>125</v>
      </c>
      <c r="F86" t="s">
        <v>101</v>
      </c>
      <c r="G86" s="3">
        <v>39</v>
      </c>
      <c r="I86" s="3">
        <f t="shared" si="1"/>
        <v>312</v>
      </c>
    </row>
    <row r="87" spans="1:9" ht="15.75" customHeight="1" x14ac:dyDescent="0.25">
      <c r="A87" s="8" t="s">
        <v>47</v>
      </c>
      <c r="B87" s="8" t="s">
        <v>15</v>
      </c>
      <c r="C87" s="9">
        <v>5</v>
      </c>
      <c r="D87" s="10">
        <v>70</v>
      </c>
      <c r="E87" s="17">
        <v>95</v>
      </c>
      <c r="F87" t="s">
        <v>101</v>
      </c>
      <c r="G87" s="3">
        <v>42</v>
      </c>
      <c r="I87" s="3">
        <f t="shared" si="1"/>
        <v>210</v>
      </c>
    </row>
    <row r="88" spans="1:9" ht="15.75" customHeight="1" x14ac:dyDescent="0.25">
      <c r="A88" s="8" t="s">
        <v>128</v>
      </c>
      <c r="B88" s="8" t="s">
        <v>15</v>
      </c>
      <c r="C88" s="9">
        <v>5</v>
      </c>
      <c r="D88" s="10">
        <v>125</v>
      </c>
      <c r="E88" s="17">
        <v>149</v>
      </c>
      <c r="F88" t="s">
        <v>101</v>
      </c>
      <c r="G88" s="3">
        <v>47.5</v>
      </c>
      <c r="I88" s="3">
        <f t="shared" si="1"/>
        <v>237.5</v>
      </c>
    </row>
    <row r="89" spans="1:9" ht="15.75" customHeight="1" x14ac:dyDescent="0.25">
      <c r="A89" s="8" t="s">
        <v>48</v>
      </c>
      <c r="B89" s="8" t="s">
        <v>15</v>
      </c>
      <c r="C89" s="9">
        <v>10</v>
      </c>
      <c r="D89" s="10">
        <v>175</v>
      </c>
      <c r="E89" s="17">
        <v>265</v>
      </c>
      <c r="F89" t="s">
        <v>105</v>
      </c>
      <c r="G89" s="3">
        <v>115</v>
      </c>
      <c r="I89" s="3">
        <f t="shared" si="1"/>
        <v>1150</v>
      </c>
    </row>
    <row r="90" spans="1:9" ht="15.75" customHeight="1" x14ac:dyDescent="0.25">
      <c r="A90" s="8" t="s">
        <v>25</v>
      </c>
      <c r="B90" s="8" t="s">
        <v>15</v>
      </c>
      <c r="C90" s="9">
        <v>5</v>
      </c>
      <c r="D90" s="10">
        <v>79</v>
      </c>
      <c r="E90" s="17">
        <v>119</v>
      </c>
      <c r="F90" t="s">
        <v>101</v>
      </c>
      <c r="G90" s="3">
        <v>47.5</v>
      </c>
      <c r="I90" s="3">
        <f t="shared" si="1"/>
        <v>237.5</v>
      </c>
    </row>
    <row r="91" spans="1:9" ht="15.75" customHeight="1" x14ac:dyDescent="0.25">
      <c r="A91" s="11" t="s">
        <v>84</v>
      </c>
      <c r="B91" s="8" t="s">
        <v>7</v>
      </c>
      <c r="C91" s="9">
        <v>4</v>
      </c>
      <c r="D91" s="10">
        <v>275</v>
      </c>
      <c r="E91" s="17">
        <v>325</v>
      </c>
      <c r="F91" t="s">
        <v>105</v>
      </c>
      <c r="G91" s="3">
        <v>225</v>
      </c>
      <c r="I91" s="3">
        <f t="shared" si="1"/>
        <v>900</v>
      </c>
    </row>
    <row r="92" spans="1:9" ht="15.75" customHeight="1" x14ac:dyDescent="0.25">
      <c r="A92" s="8" t="s">
        <v>92</v>
      </c>
      <c r="B92" s="8" t="s">
        <v>7</v>
      </c>
      <c r="C92" s="9">
        <v>3</v>
      </c>
      <c r="D92" s="10">
        <v>205</v>
      </c>
      <c r="E92" s="17">
        <v>275</v>
      </c>
      <c r="F92" t="s">
        <v>101</v>
      </c>
      <c r="G92" s="3">
        <v>90</v>
      </c>
      <c r="I92" s="3">
        <f t="shared" si="1"/>
        <v>270</v>
      </c>
    </row>
    <row r="93" spans="1:9" ht="15.75" customHeight="1" x14ac:dyDescent="0.25">
      <c r="A93" s="8" t="s">
        <v>142</v>
      </c>
      <c r="B93" s="8" t="s">
        <v>7</v>
      </c>
      <c r="C93" s="9">
        <v>3</v>
      </c>
      <c r="D93" s="10">
        <v>205</v>
      </c>
      <c r="E93" s="17">
        <v>275</v>
      </c>
      <c r="F93" t="s">
        <v>101</v>
      </c>
      <c r="G93" s="3">
        <v>105</v>
      </c>
      <c r="I93" s="3">
        <f t="shared" si="1"/>
        <v>315</v>
      </c>
    </row>
    <row r="94" spans="1:9" ht="15.75" customHeight="1" x14ac:dyDescent="0.25">
      <c r="A94" s="11" t="s">
        <v>85</v>
      </c>
      <c r="B94" s="8" t="s">
        <v>7</v>
      </c>
      <c r="C94" s="9">
        <v>3</v>
      </c>
      <c r="D94" s="10">
        <v>137</v>
      </c>
      <c r="E94" s="17">
        <v>225</v>
      </c>
      <c r="H94" t="s">
        <v>125</v>
      </c>
      <c r="I94" s="3">
        <f t="shared" si="1"/>
        <v>0</v>
      </c>
    </row>
    <row r="95" spans="1:9" ht="15.75" customHeight="1" x14ac:dyDescent="0.25">
      <c r="A95" s="11" t="s">
        <v>51</v>
      </c>
      <c r="B95" s="8" t="s">
        <v>7</v>
      </c>
      <c r="C95" s="9">
        <v>3</v>
      </c>
      <c r="D95" s="10">
        <v>137</v>
      </c>
      <c r="E95" s="17">
        <v>225</v>
      </c>
      <c r="F95" t="s">
        <v>101</v>
      </c>
      <c r="G95" s="3">
        <v>95</v>
      </c>
      <c r="I95" s="3">
        <f t="shared" si="1"/>
        <v>285</v>
      </c>
    </row>
    <row r="96" spans="1:9" ht="15.75" customHeight="1" x14ac:dyDescent="0.25">
      <c r="A96" s="11" t="s">
        <v>86</v>
      </c>
      <c r="B96" s="8" t="s">
        <v>7</v>
      </c>
      <c r="C96" s="9">
        <v>3</v>
      </c>
      <c r="D96" s="10">
        <v>137</v>
      </c>
      <c r="E96" s="17">
        <v>225</v>
      </c>
      <c r="F96" t="s">
        <v>101</v>
      </c>
      <c r="G96" s="3">
        <v>95</v>
      </c>
      <c r="I96" s="3">
        <f t="shared" si="1"/>
        <v>285</v>
      </c>
    </row>
    <row r="97" spans="1:9" ht="15.75" customHeight="1" x14ac:dyDescent="0.25">
      <c r="A97" s="11" t="s">
        <v>143</v>
      </c>
      <c r="B97" s="8" t="s">
        <v>15</v>
      </c>
      <c r="C97" s="9">
        <v>3</v>
      </c>
      <c r="D97" s="10">
        <v>144</v>
      </c>
      <c r="E97" s="17">
        <v>225</v>
      </c>
      <c r="F97" t="s">
        <v>105</v>
      </c>
      <c r="G97" s="3">
        <v>45</v>
      </c>
      <c r="H97" t="s">
        <v>126</v>
      </c>
      <c r="I97" s="3">
        <f t="shared" si="1"/>
        <v>135</v>
      </c>
    </row>
    <row r="98" spans="1:9" ht="15.75" customHeight="1" x14ac:dyDescent="0.25">
      <c r="A98" s="11" t="s">
        <v>87</v>
      </c>
      <c r="B98" s="8" t="s">
        <v>7</v>
      </c>
      <c r="C98" s="9">
        <v>6</v>
      </c>
      <c r="D98" s="10">
        <v>260</v>
      </c>
      <c r="E98" s="17">
        <v>365</v>
      </c>
      <c r="F98" t="s">
        <v>101</v>
      </c>
      <c r="G98" s="3">
        <v>130</v>
      </c>
      <c r="I98" s="3">
        <f t="shared" si="1"/>
        <v>780</v>
      </c>
    </row>
    <row r="99" spans="1:9" ht="15.75" customHeight="1" x14ac:dyDescent="0.25">
      <c r="A99" s="11" t="s">
        <v>88</v>
      </c>
      <c r="B99" s="8" t="s">
        <v>7</v>
      </c>
      <c r="C99" s="9">
        <v>6</v>
      </c>
      <c r="D99" s="10">
        <v>162</v>
      </c>
      <c r="E99" s="17">
        <v>225</v>
      </c>
      <c r="F99" t="s">
        <v>101</v>
      </c>
      <c r="G99" s="3">
        <v>130</v>
      </c>
      <c r="I99" s="3">
        <f t="shared" si="1"/>
        <v>780</v>
      </c>
    </row>
    <row r="100" spans="1:9" ht="15.75" customHeight="1" x14ac:dyDescent="0.25">
      <c r="A100" s="8" t="s">
        <v>89</v>
      </c>
      <c r="B100" s="8" t="s">
        <v>7</v>
      </c>
      <c r="C100" s="9">
        <v>3</v>
      </c>
      <c r="D100" s="10">
        <v>180</v>
      </c>
      <c r="E100" s="17">
        <v>225</v>
      </c>
      <c r="F100" t="s">
        <v>135</v>
      </c>
      <c r="G100" s="3">
        <v>135</v>
      </c>
      <c r="I100" s="3">
        <f t="shared" si="1"/>
        <v>405</v>
      </c>
    </row>
    <row r="101" spans="1:9" ht="15.75" customHeight="1" x14ac:dyDescent="0.25">
      <c r="A101" s="8" t="s">
        <v>54</v>
      </c>
      <c r="B101" s="8" t="s">
        <v>7</v>
      </c>
      <c r="C101" s="9">
        <v>15</v>
      </c>
      <c r="D101" s="10">
        <v>145</v>
      </c>
      <c r="E101" s="17">
        <v>225</v>
      </c>
      <c r="F101" t="s">
        <v>101</v>
      </c>
      <c r="G101" s="3">
        <v>94.5</v>
      </c>
      <c r="I101" s="3">
        <f t="shared" si="1"/>
        <v>1417.5</v>
      </c>
    </row>
    <row r="102" spans="1:9" ht="15.75" customHeight="1" x14ac:dyDescent="0.25">
      <c r="A102" s="8" t="s">
        <v>90</v>
      </c>
      <c r="B102" s="8" t="s">
        <v>7</v>
      </c>
      <c r="C102" s="9">
        <v>6</v>
      </c>
      <c r="D102" s="10">
        <v>225</v>
      </c>
      <c r="E102" s="17">
        <v>299</v>
      </c>
      <c r="F102" t="s">
        <v>101</v>
      </c>
      <c r="G102" s="3">
        <v>125</v>
      </c>
      <c r="I102" s="3">
        <f t="shared" si="1"/>
        <v>750</v>
      </c>
    </row>
    <row r="103" spans="1:9" ht="15.75" customHeight="1" x14ac:dyDescent="0.25">
      <c r="A103" s="8" t="s">
        <v>91</v>
      </c>
      <c r="B103" s="8" t="s">
        <v>7</v>
      </c>
      <c r="C103" s="9">
        <v>3</v>
      </c>
      <c r="D103" s="10">
        <v>160</v>
      </c>
      <c r="E103" s="17">
        <v>219</v>
      </c>
      <c r="F103" t="s">
        <v>105</v>
      </c>
      <c r="G103" s="3">
        <v>135</v>
      </c>
      <c r="I103" s="3">
        <f t="shared" si="1"/>
        <v>405</v>
      </c>
    </row>
    <row r="104" spans="1:9" ht="15.75" customHeight="1" x14ac:dyDescent="0.25">
      <c r="A104" s="8" t="s">
        <v>53</v>
      </c>
      <c r="B104" s="8" t="s">
        <v>7</v>
      </c>
      <c r="C104" s="9">
        <v>6</v>
      </c>
      <c r="D104" s="10">
        <v>143</v>
      </c>
      <c r="E104" s="17">
        <v>197</v>
      </c>
      <c r="F104" t="s">
        <v>101</v>
      </c>
      <c r="G104" s="3">
        <v>93</v>
      </c>
      <c r="I104" s="3">
        <f t="shared" si="1"/>
        <v>558</v>
      </c>
    </row>
    <row r="105" spans="1:9" ht="15.75" customHeight="1" x14ac:dyDescent="0.25">
      <c r="A105" s="8" t="s">
        <v>77</v>
      </c>
      <c r="B105" s="8" t="s">
        <v>7</v>
      </c>
      <c r="C105" s="9">
        <v>3</v>
      </c>
      <c r="D105" s="10">
        <v>173</v>
      </c>
      <c r="E105" s="17">
        <v>197</v>
      </c>
      <c r="F105" t="s">
        <v>101</v>
      </c>
      <c r="G105" s="3">
        <v>93</v>
      </c>
      <c r="I105" s="3">
        <f t="shared" si="1"/>
        <v>279</v>
      </c>
    </row>
    <row r="106" spans="1:9" ht="15.75" customHeight="1" x14ac:dyDescent="0.25">
      <c r="A106" s="8" t="s">
        <v>46</v>
      </c>
      <c r="B106" s="8" t="s">
        <v>20</v>
      </c>
      <c r="C106" s="9">
        <v>1</v>
      </c>
      <c r="D106" s="10">
        <v>139</v>
      </c>
      <c r="E106" s="17">
        <v>219</v>
      </c>
      <c r="F106" t="s">
        <v>101</v>
      </c>
      <c r="G106" s="3">
        <v>95</v>
      </c>
      <c r="I106" s="3">
        <f t="shared" si="1"/>
        <v>95</v>
      </c>
    </row>
    <row r="107" spans="1:9" ht="15.75" customHeight="1" x14ac:dyDescent="0.25">
      <c r="A107" s="8" t="s">
        <v>27</v>
      </c>
      <c r="B107" s="8" t="s">
        <v>7</v>
      </c>
      <c r="C107" s="9">
        <v>5</v>
      </c>
      <c r="D107" s="10">
        <v>179</v>
      </c>
      <c r="E107" s="17">
        <v>229</v>
      </c>
      <c r="I107" s="3">
        <f t="shared" si="1"/>
        <v>0</v>
      </c>
    </row>
    <row r="108" spans="1:9" ht="15.75" customHeight="1" x14ac:dyDescent="0.25">
      <c r="A108" s="8" t="s">
        <v>26</v>
      </c>
      <c r="B108" s="8" t="s">
        <v>7</v>
      </c>
      <c r="C108" s="9">
        <v>5</v>
      </c>
      <c r="D108" s="10">
        <v>299</v>
      </c>
      <c r="E108" s="17">
        <v>350</v>
      </c>
      <c r="I108" s="3">
        <f t="shared" si="1"/>
        <v>0</v>
      </c>
    </row>
    <row r="109" spans="1:9" ht="15.75" customHeight="1" x14ac:dyDescent="0.25">
      <c r="A109" s="8" t="s">
        <v>92</v>
      </c>
      <c r="B109" s="8" t="s">
        <v>22</v>
      </c>
      <c r="C109" s="9">
        <v>3</v>
      </c>
      <c r="D109" s="10">
        <v>450</v>
      </c>
      <c r="E109" s="17">
        <v>495</v>
      </c>
      <c r="F109" t="s">
        <v>135</v>
      </c>
      <c r="G109" s="3">
        <v>325</v>
      </c>
      <c r="I109" s="3">
        <f t="shared" si="1"/>
        <v>975</v>
      </c>
    </row>
    <row r="110" spans="1:9" ht="15.75" customHeight="1" x14ac:dyDescent="0.25">
      <c r="A110" s="8" t="s">
        <v>137</v>
      </c>
      <c r="B110" s="8" t="s">
        <v>7</v>
      </c>
      <c r="C110" s="9">
        <v>3</v>
      </c>
      <c r="D110" s="10"/>
      <c r="E110" s="17"/>
      <c r="F110" t="s">
        <v>101</v>
      </c>
      <c r="G110" s="3">
        <v>100</v>
      </c>
      <c r="I110" s="3">
        <f t="shared" si="1"/>
        <v>300</v>
      </c>
    </row>
    <row r="111" spans="1:9" ht="15.75" customHeight="1" x14ac:dyDescent="0.25">
      <c r="A111" s="8" t="s">
        <v>53</v>
      </c>
      <c r="B111" s="8" t="s">
        <v>22</v>
      </c>
      <c r="C111" s="9">
        <v>6</v>
      </c>
      <c r="D111" s="10">
        <v>325</v>
      </c>
      <c r="E111" s="17">
        <v>370</v>
      </c>
      <c r="I111" s="3">
        <f t="shared" si="1"/>
        <v>0</v>
      </c>
    </row>
    <row r="112" spans="1:9" ht="15.75" customHeight="1" x14ac:dyDescent="0.25">
      <c r="A112" s="8" t="s">
        <v>23</v>
      </c>
      <c r="B112" s="8" t="s">
        <v>22</v>
      </c>
      <c r="C112" s="9">
        <v>3</v>
      </c>
      <c r="D112" s="10">
        <v>450</v>
      </c>
      <c r="E112" s="17">
        <v>495</v>
      </c>
      <c r="I112" s="3">
        <f t="shared" si="1"/>
        <v>0</v>
      </c>
    </row>
    <row r="113" spans="1:9" ht="15.75" customHeight="1" x14ac:dyDescent="0.25">
      <c r="A113" s="8" t="s">
        <v>93</v>
      </c>
      <c r="B113" s="8" t="s">
        <v>24</v>
      </c>
      <c r="C113" s="9">
        <v>3</v>
      </c>
      <c r="D113" s="10">
        <v>390</v>
      </c>
      <c r="E113" s="17">
        <v>550</v>
      </c>
      <c r="F113" t="s">
        <v>138</v>
      </c>
      <c r="I113" s="3">
        <f t="shared" si="1"/>
        <v>0</v>
      </c>
    </row>
    <row r="114" spans="1:9" ht="15.75" customHeight="1" x14ac:dyDescent="0.25">
      <c r="A114" s="11" t="s">
        <v>94</v>
      </c>
      <c r="B114" s="8" t="s">
        <v>2</v>
      </c>
      <c r="C114" s="9">
        <v>2</v>
      </c>
      <c r="D114" s="10">
        <v>900</v>
      </c>
      <c r="E114" s="17">
        <v>1100</v>
      </c>
      <c r="I114" s="3">
        <f t="shared" si="1"/>
        <v>0</v>
      </c>
    </row>
    <row r="115" spans="1:9" ht="15.75" customHeight="1" x14ac:dyDescent="0.25">
      <c r="A115" s="11" t="s">
        <v>85</v>
      </c>
      <c r="B115" s="8" t="s">
        <v>2</v>
      </c>
      <c r="C115" s="13">
        <v>1</v>
      </c>
      <c r="D115" s="10">
        <v>650</v>
      </c>
      <c r="E115" s="18">
        <v>749</v>
      </c>
      <c r="F115" t="s">
        <v>138</v>
      </c>
      <c r="I115" s="3">
        <f t="shared" si="1"/>
        <v>0</v>
      </c>
    </row>
    <row r="116" spans="1:9" ht="15.75" customHeight="1" x14ac:dyDescent="0.25">
      <c r="A116" s="11" t="s">
        <v>51</v>
      </c>
      <c r="B116" s="8" t="s">
        <v>2</v>
      </c>
      <c r="C116" s="9">
        <v>1</v>
      </c>
      <c r="D116" s="10">
        <v>650</v>
      </c>
      <c r="E116" s="17">
        <v>749</v>
      </c>
      <c r="F116" t="s">
        <v>138</v>
      </c>
      <c r="I116" s="3">
        <f t="shared" si="1"/>
        <v>0</v>
      </c>
    </row>
    <row r="117" spans="1:9" ht="15.75" customHeight="1" x14ac:dyDescent="0.25">
      <c r="A117" s="8" t="s">
        <v>70</v>
      </c>
      <c r="B117" s="8" t="s">
        <v>2</v>
      </c>
      <c r="C117" s="9">
        <v>2</v>
      </c>
      <c r="D117" s="10">
        <v>675</v>
      </c>
      <c r="E117" s="17">
        <v>799</v>
      </c>
      <c r="F117" t="s">
        <v>105</v>
      </c>
      <c r="G117" s="3">
        <v>375</v>
      </c>
      <c r="I117" s="3">
        <f t="shared" si="1"/>
        <v>750</v>
      </c>
    </row>
    <row r="118" spans="1:9" ht="15.75" customHeight="1" x14ac:dyDescent="0.25">
      <c r="A118" s="11" t="s">
        <v>87</v>
      </c>
      <c r="B118" s="8" t="s">
        <v>2</v>
      </c>
      <c r="C118" s="9">
        <v>2</v>
      </c>
      <c r="D118" s="10">
        <v>900</v>
      </c>
      <c r="E118" s="17">
        <v>1100</v>
      </c>
      <c r="F118" t="s">
        <v>135</v>
      </c>
      <c r="G118" s="3">
        <v>550</v>
      </c>
      <c r="H118" t="s">
        <v>136</v>
      </c>
      <c r="I118" s="3">
        <f t="shared" si="1"/>
        <v>1100</v>
      </c>
    </row>
    <row r="119" spans="1:9" ht="15.75" customHeight="1" x14ac:dyDescent="0.25">
      <c r="A119" s="8" t="s">
        <v>90</v>
      </c>
      <c r="B119" s="8" t="s">
        <v>2</v>
      </c>
      <c r="C119" s="9">
        <v>2</v>
      </c>
      <c r="D119" s="10">
        <v>900</v>
      </c>
      <c r="E119" s="17">
        <v>1200</v>
      </c>
      <c r="F119" t="s">
        <v>135</v>
      </c>
      <c r="G119" s="3">
        <v>550</v>
      </c>
      <c r="H119" t="s">
        <v>136</v>
      </c>
      <c r="I119" s="3">
        <f t="shared" si="1"/>
        <v>1100</v>
      </c>
    </row>
    <row r="120" spans="1:9" ht="15.75" customHeight="1" x14ac:dyDescent="0.25">
      <c r="A120" s="8" t="s">
        <v>95</v>
      </c>
      <c r="B120" s="8" t="s">
        <v>18</v>
      </c>
      <c r="C120" s="9">
        <v>5</v>
      </c>
      <c r="D120" s="10">
        <v>500</v>
      </c>
      <c r="E120" s="17">
        <v>650</v>
      </c>
      <c r="I120" s="3">
        <f t="shared" si="1"/>
        <v>0</v>
      </c>
    </row>
    <row r="121" spans="1:9" ht="15.75" customHeight="1" x14ac:dyDescent="0.25">
      <c r="A121" s="8" t="s">
        <v>96</v>
      </c>
      <c r="B121" s="8" t="s">
        <v>18</v>
      </c>
      <c r="C121" s="9">
        <v>5</v>
      </c>
      <c r="D121" s="10">
        <v>500</v>
      </c>
      <c r="E121" s="17">
        <v>650</v>
      </c>
      <c r="I121" s="3">
        <f t="shared" si="1"/>
        <v>0</v>
      </c>
    </row>
    <row r="122" spans="1:9" ht="15.75" customHeight="1" x14ac:dyDescent="0.25"/>
    <row r="123" spans="1:9" ht="15.75" customHeight="1" x14ac:dyDescent="0.25">
      <c r="C123" s="15">
        <f>SUM(C6:C121)</f>
        <v>3984</v>
      </c>
      <c r="I123" s="14">
        <f>SUM(I6:I121)</f>
        <v>39920.25</v>
      </c>
    </row>
    <row r="124" spans="1:9" ht="15.75" customHeight="1" x14ac:dyDescent="0.25">
      <c r="I124" s="14"/>
    </row>
    <row r="125" spans="1:9" ht="15.75" customHeight="1" x14ac:dyDescent="0.25"/>
    <row r="126" spans="1:9" ht="15.75" customHeight="1" x14ac:dyDescent="0.25"/>
    <row r="127" spans="1:9" ht="15.75" customHeight="1" x14ac:dyDescent="0.25"/>
    <row r="128" spans="1:9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spans="1:3" ht="15.75" customHeight="1" x14ac:dyDescent="0.25"/>
    <row r="146" spans="1:3" ht="15.75" customHeight="1" x14ac:dyDescent="0.25">
      <c r="A146" s="2" t="s">
        <v>34</v>
      </c>
      <c r="B146" s="2" t="s">
        <v>9</v>
      </c>
      <c r="C146" s="6">
        <v>3</v>
      </c>
    </row>
    <row r="147" spans="1:3" ht="15.75" customHeight="1" x14ac:dyDescent="0.25">
      <c r="A147" s="7" t="s">
        <v>33</v>
      </c>
      <c r="B147" s="2" t="s">
        <v>10</v>
      </c>
      <c r="C147" s="6">
        <v>1</v>
      </c>
    </row>
    <row r="148" spans="1:3" ht="15.75" customHeight="1" x14ac:dyDescent="0.25">
      <c r="A148" s="7" t="s">
        <v>32</v>
      </c>
      <c r="B148" s="2" t="s">
        <v>10</v>
      </c>
      <c r="C148" s="6">
        <v>1</v>
      </c>
    </row>
    <row r="149" spans="1:3" ht="15.75" customHeight="1" x14ac:dyDescent="0.25">
      <c r="A149" s="2" t="s">
        <v>31</v>
      </c>
      <c r="B149" s="2" t="s">
        <v>12</v>
      </c>
      <c r="C149" s="6">
        <v>15</v>
      </c>
    </row>
    <row r="150" spans="1:3" ht="15.75" customHeight="1" x14ac:dyDescent="0.25"/>
    <row r="151" spans="1:3" ht="15.75" customHeight="1" x14ac:dyDescent="0.25"/>
    <row r="152" spans="1:3" ht="15.75" customHeight="1" x14ac:dyDescent="0.25"/>
    <row r="153" spans="1:3" ht="15.75" customHeight="1" x14ac:dyDescent="0.25"/>
    <row r="154" spans="1:3" ht="15.75" customHeight="1" x14ac:dyDescent="0.25"/>
    <row r="155" spans="1:3" ht="15.75" customHeight="1" x14ac:dyDescent="0.25"/>
    <row r="156" spans="1:3" ht="15.75" customHeight="1" x14ac:dyDescent="0.25"/>
    <row r="157" spans="1:3" ht="15.75" customHeight="1" x14ac:dyDescent="0.25"/>
    <row r="158" spans="1:3" ht="15.75" customHeight="1" x14ac:dyDescent="0.25"/>
    <row r="159" spans="1:3" ht="15.75" customHeight="1" x14ac:dyDescent="0.25"/>
    <row r="160" spans="1:3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</sheetData>
  <autoFilter ref="B4:B97" xr:uid="{00000000-0009-0000-0000-000000000000}"/>
  <pageMargins left="0.7" right="0.7" top="0.75" bottom="0.75" header="0" footer="0"/>
  <pageSetup paperSize="3" scale="89" fitToHeight="0" orientation="landscape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Respress, Daniel S.</dc:creator>
  <cp:lastModifiedBy>Nick Gillette</cp:lastModifiedBy>
  <cp:lastPrinted>2025-12-16T13:34:26Z</cp:lastPrinted>
  <dcterms:created xsi:type="dcterms:W3CDTF">2025-08-20T17:10:46Z</dcterms:created>
  <dcterms:modified xsi:type="dcterms:W3CDTF">2026-01-19T19:34:11Z</dcterms:modified>
</cp:coreProperties>
</file>